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Under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0000FF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06C00"/>
      </patternFill>
    </fill>
    <fill>
      <patternFill patternType="solid">
        <fgColor rgb="00FFC000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0" borderId="1" pivotButton="0" quotePrefix="0" xfId="0"/>
    <xf numFmtId="164" fontId="6" fillId="0" borderId="1" pivotButton="0" quotePrefix="0" xfId="0"/>
    <xf numFmtId="9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5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6" customWidth="1" min="4" max="4"/>
    <col width="14" customWidth="1" min="5" max="5"/>
    <col width="14" customWidth="1" min="6" max="6"/>
    <col width="11" customWidth="1" min="7" max="7"/>
    <col width="13" customWidth="1" min="8" max="8"/>
    <col width="18" customWidth="1" min="9" max="9"/>
    <col width="60" customWidth="1" min="10" max="10"/>
  </cols>
  <sheetData>
    <row r="1">
      <c r="A1" s="1" t="inlineStr">
        <is>
          <t>Grant Underspend Project: Sep 25 to Oct 1, 2026</t>
        </is>
      </c>
    </row>
    <row r="2">
      <c r="A2" s="2" t="inlineStr">
        <is>
          <t>Full grant spend target (per week):</t>
        </is>
      </c>
      <c r="C2" s="3" t="n">
        <v>2300</v>
      </c>
    </row>
    <row r="3">
      <c r="A3" s="4" t="inlineStr">
        <is>
          <t>Flag if more than 10% below target (under about $2,070). Spend from the Sep 25 to Oct 1 Looker report. 11 under this week, counting the new His Mansion card.</t>
        </is>
      </c>
    </row>
    <row r="5">
      <c r="A5" s="5" t="inlineStr">
        <is>
          <t>Priority</t>
        </is>
      </c>
      <c r="B5" s="5" t="inlineStr">
        <is>
          <t>Client</t>
        </is>
      </c>
      <c r="C5" s="5" t="inlineStr">
        <is>
          <t>Vertical</t>
        </is>
      </c>
      <c r="D5" s="5" t="inlineStr">
        <is>
          <t>Client Advocate</t>
        </is>
      </c>
      <c r="E5" s="5" t="inlineStr">
        <is>
          <t>Last Week Spend</t>
        </is>
      </c>
      <c r="F5" s="5" t="inlineStr">
        <is>
          <t>This Week Spend</t>
        </is>
      </c>
      <c r="G5" s="5" t="inlineStr">
        <is>
          <t>% of Target</t>
        </is>
      </c>
      <c r="H5" s="5" t="inlineStr">
        <is>
          <t>Gap to Target</t>
        </is>
      </c>
      <c r="I5" s="5" t="inlineStr">
        <is>
          <t>Status</t>
        </is>
      </c>
      <c r="J5" s="5" t="inlineStr">
        <is>
          <t>Next Step</t>
        </is>
      </c>
    </row>
    <row r="6">
      <c r="A6" s="6" t="inlineStr">
        <is>
          <t>1 - OFF</t>
        </is>
      </c>
      <c r="B6" s="7" t="inlineStr">
        <is>
          <t>His Mansion</t>
        </is>
      </c>
      <c r="C6" s="7" t="inlineStr">
        <is>
          <t>Not on list</t>
        </is>
      </c>
      <c r="D6" s="7" t="inlineStr">
        <is>
          <t>—</t>
        </is>
      </c>
      <c r="E6" s="8" t="n">
        <v>0</v>
      </c>
      <c r="F6" s="8" t="n">
        <v>0</v>
      </c>
      <c r="G6" s="9">
        <f>F6/$C$2</f>
        <v/>
      </c>
      <c r="H6" s="8">
        <f>$C$2-F6</f>
        <v/>
      </c>
      <c r="I6" s="7" t="inlineStr"/>
      <c r="J6" s="10" t="inlineStr">
        <is>
          <t>New card. Not on the client list. $0 both weeks. Confirm if it is live yet.</t>
        </is>
      </c>
    </row>
    <row r="7">
      <c r="A7" s="11" t="inlineStr">
        <is>
          <t>2 - Critical</t>
        </is>
      </c>
      <c r="B7" s="7" t="inlineStr">
        <is>
          <t>Life Choices of Roxboro</t>
        </is>
      </c>
      <c r="C7" s="7" t="inlineStr">
        <is>
          <t>PRC</t>
        </is>
      </c>
      <c r="D7" s="7" t="inlineStr">
        <is>
          <t>Mac McDonald</t>
        </is>
      </c>
      <c r="E7" s="8" t="n">
        <v>78</v>
      </c>
      <c r="F7" s="8" t="n">
        <v>56.7</v>
      </c>
      <c r="G7" s="9">
        <f>F7/$C$2</f>
        <v/>
      </c>
      <c r="H7" s="8">
        <f>$C$2-F7</f>
        <v/>
      </c>
      <c r="I7" s="7" t="inlineStr"/>
      <c r="J7" s="10" t="inlineStr">
        <is>
          <t>Still basically off. Needs a real fix: check for a grant suspension, billing, or rebuild.</t>
        </is>
      </c>
    </row>
    <row r="8">
      <c r="A8" s="12" t="inlineStr">
        <is>
          <t>3 - Well below</t>
        </is>
      </c>
      <c r="B8" s="7" t="inlineStr">
        <is>
          <t>Abundant Life PRC</t>
        </is>
      </c>
      <c r="C8" s="7" t="inlineStr">
        <is>
          <t>PRC</t>
        </is>
      </c>
      <c r="D8" s="7" t="inlineStr">
        <is>
          <t>Mac McDonald</t>
        </is>
      </c>
      <c r="E8" s="8" t="n">
        <v>1196</v>
      </c>
      <c r="F8" s="8" t="n">
        <v>731.8099999999999</v>
      </c>
      <c r="G8" s="9">
        <f>F8/$C$2</f>
        <v/>
      </c>
      <c r="H8" s="8">
        <f>$C$2-F8</f>
        <v/>
      </c>
      <c r="I8" s="7" t="inlineStr"/>
      <c r="J8" s="10" t="inlineStr">
        <is>
          <t>Dropped back after two weeks of climbing. Find out what changed.</t>
        </is>
      </c>
    </row>
    <row r="9">
      <c r="A9" s="12" t="inlineStr">
        <is>
          <t>3 - Well below</t>
        </is>
      </c>
      <c r="B9" s="7" t="inlineStr">
        <is>
          <t>Opportunity Arkansas</t>
        </is>
      </c>
      <c r="C9" s="7" t="inlineStr">
        <is>
          <t>Grant/Other</t>
        </is>
      </c>
      <c r="D9" s="7" t="inlineStr">
        <is>
          <t>Mac McDonald</t>
        </is>
      </c>
      <c r="E9" s="8" t="n">
        <v>1087</v>
      </c>
      <c r="F9" s="8" t="n">
        <v>903.61</v>
      </c>
      <c r="G9" s="9">
        <f>F9/$C$2</f>
        <v/>
      </c>
      <c r="H9" s="8">
        <f>$C$2-F9</f>
        <v/>
      </c>
      <c r="I9" s="7" t="inlineStr"/>
      <c r="J9" s="10" t="inlineStr">
        <is>
          <t>Down three weeks in a row ($1,265, $1,087, $904). Review budget and bids.</t>
        </is>
      </c>
    </row>
    <row r="10">
      <c r="A10" s="12" t="inlineStr">
        <is>
          <t>3 - Well below</t>
        </is>
      </c>
      <c r="B10" s="7" t="inlineStr">
        <is>
          <t>Her First Women's Health</t>
        </is>
      </c>
      <c r="C10" s="7" t="inlineStr">
        <is>
          <t>PRC</t>
        </is>
      </c>
      <c r="D10" s="7" t="inlineStr">
        <is>
          <t>Mac McDonald</t>
        </is>
      </c>
      <c r="E10" s="8" t="n">
        <v>838</v>
      </c>
      <c r="F10" s="8" t="n">
        <v>931.77</v>
      </c>
      <c r="G10" s="9">
        <f>F10/$C$2</f>
        <v/>
      </c>
      <c r="H10" s="8">
        <f>$C$2-F10</f>
        <v/>
      </c>
      <c r="I10" s="7" t="inlineStr"/>
      <c r="J10" s="10" t="inlineStr">
        <is>
          <t>Climbing slowly ($661, $838, $932). Keep pushing.</t>
        </is>
      </c>
    </row>
    <row r="11">
      <c r="A11" s="13" t="inlineStr">
        <is>
          <t>4 - Below</t>
        </is>
      </c>
      <c r="B11" s="7" t="inlineStr">
        <is>
          <t>Willow Women's Center</t>
        </is>
      </c>
      <c r="C11" s="7" t="inlineStr">
        <is>
          <t>PRC</t>
        </is>
      </c>
      <c r="D11" s="7" t="inlineStr">
        <is>
          <t>Mac McDonald</t>
        </is>
      </c>
      <c r="E11" s="8" t="n">
        <v>986</v>
      </c>
      <c r="F11" s="8" t="n">
        <v>1206.66</v>
      </c>
      <c r="G11" s="9">
        <f>F11/$C$2</f>
        <v/>
      </c>
      <c r="H11" s="8">
        <f>$C$2-F11</f>
        <v/>
      </c>
      <c r="I11" s="7" t="inlineStr"/>
      <c r="J11" s="10" t="inlineStr">
        <is>
          <t>Back up to where it was two weeks ago. Still about half of target.</t>
        </is>
      </c>
    </row>
    <row r="12">
      <c r="A12" s="13" t="inlineStr">
        <is>
          <t>4 - Below</t>
        </is>
      </c>
      <c r="B12" s="7" t="inlineStr">
        <is>
          <t>The Clarity Clinic</t>
        </is>
      </c>
      <c r="C12" s="7" t="inlineStr">
        <is>
          <t>PRC</t>
        </is>
      </c>
      <c r="D12" s="7" t="inlineStr">
        <is>
          <t>Mac McDonald</t>
        </is>
      </c>
      <c r="E12" s="8" t="n">
        <v>1689</v>
      </c>
      <c r="F12" s="8" t="n">
        <v>1662.04</v>
      </c>
      <c r="G12" s="9">
        <f>F12/$C$2</f>
        <v/>
      </c>
      <c r="H12" s="8">
        <f>$C$2-F12</f>
        <v/>
      </c>
      <c r="I12" s="7" t="inlineStr"/>
      <c r="J12" s="10" t="inlineStr">
        <is>
          <t>Second week under after being at full spend. Check what changed.</t>
        </is>
      </c>
    </row>
    <row r="13">
      <c r="A13" s="13" t="inlineStr">
        <is>
          <t>4 - Below</t>
        </is>
      </c>
      <c r="B13" s="7" t="inlineStr">
        <is>
          <t>Life Choices Memphis</t>
        </is>
      </c>
      <c r="C13" s="7" t="inlineStr">
        <is>
          <t>PRC</t>
        </is>
      </c>
      <c r="D13" s="7" t="inlineStr">
        <is>
          <t>Mac McDonald</t>
        </is>
      </c>
      <c r="E13" s="8" t="n">
        <v>1737</v>
      </c>
      <c r="F13" s="8" t="n">
        <v>1691.17</v>
      </c>
      <c r="G13" s="9">
        <f>F13/$C$2</f>
        <v/>
      </c>
      <c r="H13" s="8">
        <f>$C$2-F13</f>
        <v/>
      </c>
      <c r="I13" s="7" t="inlineStr"/>
      <c r="J13" s="10" t="inlineStr">
        <is>
          <t>Third week under ($1,421, $1,737, $1,691).</t>
        </is>
      </c>
    </row>
    <row r="14">
      <c r="A14" s="13" t="inlineStr">
        <is>
          <t>4 - Below</t>
        </is>
      </c>
      <c r="B14" s="7" t="inlineStr">
        <is>
          <t>Hope Life Pregnancy Center</t>
        </is>
      </c>
      <c r="C14" s="7" t="inlineStr">
        <is>
          <t>PRC</t>
        </is>
      </c>
      <c r="D14" s="7" t="inlineStr">
        <is>
          <t>Mac McDonald</t>
        </is>
      </c>
      <c r="E14" s="8" t="n">
        <v>1731</v>
      </c>
      <c r="F14" s="8" t="n">
        <v>1856.15</v>
      </c>
      <c r="G14" s="9">
        <f>F14/$C$2</f>
        <v/>
      </c>
      <c r="H14" s="8">
        <f>$C$2-F14</f>
        <v/>
      </c>
      <c r="I14" s="7" t="inlineStr"/>
      <c r="J14" s="10" t="inlineStr">
        <is>
          <t>Moving up. About $440 short.</t>
        </is>
      </c>
    </row>
    <row r="15">
      <c r="A15" s="13" t="inlineStr">
        <is>
          <t>4 - Below</t>
        </is>
      </c>
      <c r="B15" s="7" t="inlineStr">
        <is>
          <t>1st Choice Pregnancy Center</t>
        </is>
      </c>
      <c r="C15" s="7" t="inlineStr">
        <is>
          <t>PRC</t>
        </is>
      </c>
      <c r="D15" s="7" t="inlineStr">
        <is>
          <t>Mac McDonald</t>
        </is>
      </c>
      <c r="E15" s="8" t="n">
        <v>1534</v>
      </c>
      <c r="F15" s="8" t="n">
        <v>1885.69</v>
      </c>
      <c r="G15" s="9">
        <f>F15/$C$2</f>
        <v/>
      </c>
      <c r="H15" s="8">
        <f>$C$2-F15</f>
        <v/>
      </c>
      <c r="I15" s="7" t="inlineStr"/>
      <c r="J15" s="10" t="inlineStr">
        <is>
          <t>Climbing three weeks in a row ($1,071, $1,534, $1,886).</t>
        </is>
      </c>
    </row>
    <row r="16">
      <c r="A16" s="13" t="inlineStr">
        <is>
          <t>4 - Below</t>
        </is>
      </c>
      <c r="B16" s="7" t="inlineStr">
        <is>
          <t>Clearway Clinics</t>
        </is>
      </c>
      <c r="C16" s="7" t="inlineStr">
        <is>
          <t>PRC</t>
        </is>
      </c>
      <c r="D16" s="7" t="inlineStr">
        <is>
          <t>Mac McDonald</t>
        </is>
      </c>
      <c r="E16" s="8" t="n">
        <v>1907</v>
      </c>
      <c r="F16" s="8" t="n">
        <v>1965.8</v>
      </c>
      <c r="G16" s="9">
        <f>F16/$C$2</f>
        <v/>
      </c>
      <c r="H16" s="8">
        <f>$C$2-F16</f>
        <v/>
      </c>
      <c r="I16" s="7" t="inlineStr"/>
      <c r="J16" s="10" t="inlineStr">
        <is>
          <t>Third week just under ($1,871, $1,907, $1,966). Small push needed.</t>
        </is>
      </c>
    </row>
    <row r="17">
      <c r="A17" s="14" t="n"/>
      <c r="B17" s="14" t="n"/>
      <c r="C17" s="14" t="n"/>
      <c r="D17" s="15" t="inlineStr">
        <is>
          <t>TOTAL</t>
        </is>
      </c>
      <c r="E17" s="16">
        <f>SUM(E6:E16)</f>
        <v/>
      </c>
      <c r="F17" s="16">
        <f>SUM(F6:F16)</f>
        <v/>
      </c>
      <c r="G17" s="14" t="n"/>
      <c r="H17" s="16">
        <f>SUM(H6:H16)</f>
        <v/>
      </c>
      <c r="I17" s="14" t="n"/>
      <c r="J17" s="14" t="n"/>
    </row>
    <row r="19">
      <c r="A19" s="2" t="inlineStr">
        <is>
          <t>Back over the line this week</t>
        </is>
      </c>
    </row>
    <row r="20">
      <c r="A20" s="17" t="inlineStr">
        <is>
          <t>Credit Counselors of Arkansas (CCOA): $1,503 to $2,333</t>
        </is>
      </c>
    </row>
    <row r="21">
      <c r="A21" s="17" t="inlineStr">
        <is>
          <t>APS Medical: $2,003 to $2,149</t>
        </is>
      </c>
    </row>
    <row r="23">
      <c r="A23" s="2" t="inlineStr">
        <is>
          <t>Not in this week's PDF (pages 9 and 13 came out blank). All six were at full spend on Sep 18 to 24:</t>
        </is>
      </c>
    </row>
    <row r="24">
      <c r="A24" s="17" t="inlineStr">
        <is>
          <t>Birth Choice ($2,308)</t>
        </is>
      </c>
    </row>
    <row r="25">
      <c r="A25" s="17" t="inlineStr">
        <is>
          <t>City Church ($2,289)</t>
        </is>
      </c>
    </row>
    <row r="26">
      <c r="A26" s="17" t="inlineStr">
        <is>
          <t>Freedom House Church ($2,132)</t>
        </is>
      </c>
    </row>
    <row r="27">
      <c r="A27" s="17" t="inlineStr">
        <is>
          <t>Compel Church ($2,292)</t>
        </is>
      </c>
    </row>
    <row r="28">
      <c r="A28" s="17" t="inlineStr">
        <is>
          <t>Little Life Academy ($2,347)</t>
        </is>
      </c>
    </row>
    <row r="29">
      <c r="A29" s="17" t="inlineStr">
        <is>
          <t>Mosaic Virginia ($2,287)</t>
        </is>
      </c>
    </row>
  </sheetData>
  <mergeCells count="4">
    <mergeCell ref="A1:J1"/>
    <mergeCell ref="A20:J20"/>
    <mergeCell ref="A3:J3"/>
    <mergeCell ref="A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2026-10-02T18:26:35Z</dcterms:created>
  <dcterms:modified xmlns:dcterms="http://purl.org/dc/terms/" xmlns:xsi="http://www.w3.org/2001/XMLSchema-instance" xsi:type="dcterms:W3CDTF">2026-10-02T18:26:35Z</dcterms:modified>
</cp:coreProperties>
</file>